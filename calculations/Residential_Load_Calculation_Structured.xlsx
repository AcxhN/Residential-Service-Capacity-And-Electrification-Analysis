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usto\Downloads\"/>
    </mc:Choice>
  </mc:AlternateContent>
  <xr:revisionPtr revIDLastSave="0" documentId="13_ncr:1_{B159AAB6-2E17-4025-B479-FEA15D8440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rt_1_Connected_Load" sheetId="1" r:id="rId1"/>
    <sheet name="Part_2_Demand_Factor" sheetId="2" r:id="rId2"/>
    <sheet name="Part_3_Current_Calcul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2" i="2" s="1"/>
  <c r="B4" i="2" s="1"/>
  <c r="B5" i="2" s="1"/>
  <c r="B2" i="3" s="1"/>
  <c r="B4" i="3" s="1"/>
</calcChain>
</file>

<file path=xl/sharedStrings.xml><?xml version="1.0" encoding="utf-8"?>
<sst xmlns="http://schemas.openxmlformats.org/spreadsheetml/2006/main" count="20" uniqueCount="16">
  <si>
    <t>Load Description</t>
  </si>
  <si>
    <t>Connected Load (W)</t>
  </si>
  <si>
    <t>Lighting (2400 × 3W/ft²)</t>
  </si>
  <si>
    <t>Small Appliance Circuits (2×1500)</t>
  </si>
  <si>
    <t>Laundry Circuit</t>
  </si>
  <si>
    <t>Electric Range</t>
  </si>
  <si>
    <t>Dryer</t>
  </si>
  <si>
    <t>Air Conditioner</t>
  </si>
  <si>
    <t>Total Connected Load (W)</t>
  </si>
  <si>
    <t>Description</t>
  </si>
  <si>
    <t>Value</t>
  </si>
  <si>
    <t>First 10kW @100%</t>
  </si>
  <si>
    <t>Remaining Load @40%</t>
  </si>
  <si>
    <t>Adjusted Demand Load (W)</t>
  </si>
  <si>
    <t>System Voltage (V)</t>
  </si>
  <si>
    <t>Calculated Current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</si>
</sst>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5" x14ac:dyDescent="0.25"/>
  <cols>
    <col min="1" max="1" width="30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7200</v>
      </c>
    </row>
    <row r="3" spans="1:2" x14ac:dyDescent="0.25">
      <c r="A3" t="s">
        <v>3</v>
      </c>
      <c r="B3">
        <v>3000</v>
      </c>
    </row>
    <row r="4" spans="1:2" x14ac:dyDescent="0.25">
      <c r="A4" t="s">
        <v>4</v>
      </c>
      <c r="B4">
        <v>1500</v>
      </c>
    </row>
    <row r="5" spans="1:2" x14ac:dyDescent="0.25">
      <c r="A5" t="s">
        <v>5</v>
      </c>
      <c r="B5">
        <v>12000</v>
      </c>
    </row>
    <row r="6" spans="1:2" x14ac:dyDescent="0.25">
      <c r="A6" t="s">
        <v>6</v>
      </c>
      <c r="B6">
        <v>5000</v>
      </c>
    </row>
    <row r="7" spans="1:2" x14ac:dyDescent="0.25">
      <c r="A7" t="s">
        <v>7</v>
      </c>
      <c r="B7">
        <v>3500</v>
      </c>
    </row>
    <row r="8" spans="1:2" x14ac:dyDescent="0.25">
      <c r="A8" t="s">
        <v>8</v>
      </c>
      <c r="B8">
        <f>SUM(B2:B7)</f>
        <v>32200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1" width="25.7109375" bestFit="1" customWidth="1"/>
  </cols>
  <sheetData>
    <row r="1" spans="1:2" x14ac:dyDescent="0.25">
      <c r="A1" s="1" t="s">
        <v>9</v>
      </c>
      <c r="B1" s="1" t="s">
        <v>10</v>
      </c>
    </row>
    <row r="2" spans="1:2" x14ac:dyDescent="0.25">
      <c r="A2" t="s">
        <v>8</v>
      </c>
      <c r="B2">
        <f>Part_1_Connected_Load!B8</f>
        <v>32200</v>
      </c>
    </row>
    <row r="3" spans="1:2" x14ac:dyDescent="0.25">
      <c r="A3" t="s">
        <v>11</v>
      </c>
      <c r="B3">
        <v>10000</v>
      </c>
    </row>
    <row r="4" spans="1:2" x14ac:dyDescent="0.25">
      <c r="A4" t="s">
        <v>12</v>
      </c>
      <c r="B4">
        <f>0.4*(B2-10000)</f>
        <v>8880</v>
      </c>
    </row>
    <row r="5" spans="1:2" x14ac:dyDescent="0.25">
      <c r="A5" t="s">
        <v>13</v>
      </c>
      <c r="B5">
        <f>B3+B4</f>
        <v>18880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cols>
    <col min="1" max="1" width="25.7109375" bestFit="1" customWidth="1"/>
  </cols>
  <sheetData>
    <row r="1" spans="1:2" x14ac:dyDescent="0.25">
      <c r="A1" s="1" t="s">
        <v>9</v>
      </c>
      <c r="B1" s="1" t="s">
        <v>10</v>
      </c>
    </row>
    <row r="2" spans="1:2" x14ac:dyDescent="0.25">
      <c r="A2" t="s">
        <v>13</v>
      </c>
      <c r="B2">
        <f>Part_2_Demand_Factor!B5</f>
        <v>18880</v>
      </c>
    </row>
    <row r="3" spans="1:2" x14ac:dyDescent="0.25">
      <c r="A3" t="s">
        <v>14</v>
      </c>
      <c r="B3">
        <v>240</v>
      </c>
    </row>
    <row r="4" spans="1:2" x14ac:dyDescent="0.25">
      <c r="A4" t="s">
        <v>15</v>
      </c>
      <c r="B4">
        <f>B2/B3</f>
        <v>78.666666666666671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Part_1_Connected_Load</vt:lpstr>
      <vt:lpstr>Part_2_Demand_Factor</vt:lpstr>
      <vt:lpstr>Part_3_Current_Calculation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Auston Ng</cp:lastModifiedBy>
  <dcterms:created xsi:type="dcterms:W3CDTF">2026-02-19T05:00:55Z</dcterms:created>
  <dcterms:modified xsi:type="dcterms:W3CDTF">2026-02-19T05:10:58Z</dcterms:modified>
</cp:coreProperties>
</file>